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D:\CTY ROBIN\"/>
    </mc:Choice>
  </mc:AlternateContent>
  <xr:revisionPtr revIDLastSave="0" documentId="8_{89F00684-4D70-F346-A3DD-151F4CEABB9E}" xr6:coauthVersionLast="47" xr6:coauthVersionMax="47" xr10:uidLastSave="{00000000-0000-0000-0000-000000000000}"/>
  <bookViews>
    <workbookView xWindow="0" yWindow="0" windowWidth="28800" windowHeight="12360" xr2:uid="{00000000-000D-0000-FFFF-FFFF00000000}"/>
  </bookViews>
  <sheets>
    <sheet name="BG MN Sang" sheetId="1" r:id="rId1"/>
  </sheets>
  <definedNames>
    <definedName name="_xlnm.Print_Titles" localSheetId="0">'BG MN Sang'!$5:$5</definedName>
    <definedName name="_xlnm.Print_Area" localSheetId="0">'BG MN Sang'!$A$1:$H$63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1" l="1"/>
  <c r="H20"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H34" i="1"/>
  <c r="H23" i="1"/>
  <c r="H42" i="1"/>
  <c r="H41" i="1"/>
  <c r="H40" i="1"/>
  <c r="H39" i="1"/>
  <c r="H38" i="1"/>
  <c r="H37" i="1"/>
  <c r="H36" i="1"/>
  <c r="H35" i="1"/>
  <c r="H33" i="1"/>
  <c r="H32" i="1"/>
  <c r="H31" i="1"/>
  <c r="H30" i="1"/>
  <c r="H29" i="1"/>
  <c r="H28" i="1"/>
  <c r="H27" i="1"/>
  <c r="H26" i="1"/>
  <c r="H25" i="1"/>
  <c r="H24" i="1"/>
  <c r="H22" i="1"/>
  <c r="H21" i="1"/>
  <c r="H19" i="1"/>
  <c r="H18" i="1"/>
  <c r="H17" i="1"/>
  <c r="H16" i="1"/>
  <c r="H15" i="1"/>
  <c r="H14" i="1"/>
  <c r="H13" i="1"/>
  <c r="H12" i="1"/>
  <c r="H11" i="1"/>
  <c r="H10" i="1"/>
  <c r="H9" i="1"/>
  <c r="H8" i="1"/>
  <c r="H7" i="1"/>
  <c r="A39" i="1"/>
  <c r="A40" i="1"/>
  <c r="A41" i="1"/>
  <c r="A42" i="1"/>
</calcChain>
</file>

<file path=xl/sharedStrings.xml><?xml version="1.0" encoding="utf-8"?>
<sst xmlns="http://schemas.openxmlformats.org/spreadsheetml/2006/main" count="164" uniqueCount="143">
  <si>
    <r>
      <rPr>
        <b/>
        <sz val="36"/>
        <color theme="1"/>
        <rFont val="Times New Roman"/>
        <family val="1"/>
      </rPr>
      <t>CÔNG TY TNHH ROBIN GROUP</t>
    </r>
    <r>
      <rPr>
        <sz val="16"/>
        <color theme="1"/>
        <rFont val="Times New Roman"/>
        <family val="1"/>
      </rPr>
      <t xml:space="preserve">
</t>
    </r>
    <r>
      <rPr>
        <sz val="24"/>
        <color theme="1"/>
        <rFont val="Times New Roman"/>
        <family val="1"/>
      </rPr>
      <t xml:space="preserve">Địa chỉ: Số 121 đường Nguyễn Hoàng Nghị, Phường Võ Cường, 
Thành phố Bắc Ninh, Tỉnh Bắc Ninh, Việt Nam
</t>
    </r>
    <r>
      <rPr>
        <i/>
        <sz val="24"/>
        <color theme="1"/>
        <rFont val="Times New Roman"/>
        <family val="1"/>
      </rPr>
      <t>Điện thoại: 0971.956.951 - 0973.546.024, Hotline 0868.829.666</t>
    </r>
  </si>
  <si>
    <t>STT</t>
  </si>
  <si>
    <t>SẢN PHẨM</t>
  </si>
  <si>
    <t>QUY CÁCH</t>
  </si>
  <si>
    <t>CÔNG DỤNG HỖ TRỢ</t>
  </si>
  <si>
    <t>ƯU ĐIỂM</t>
  </si>
  <si>
    <t>GIÁ THU VỀ</t>
  </si>
  <si>
    <t>Tỉ lệ % chiết khấu khách hàng</t>
  </si>
  <si>
    <t>AN TÂM HOÀNG SA</t>
  </si>
  <si>
    <t>Hộp 10 viên</t>
  </si>
  <si>
    <t>- Hỗ trợ hoạt huyết, tăng tuần hoàn máu não, giảm nguy cơ hình thành cục máu đông
- Hỗ trợ quá trình phục hồi sau tai biến (đột quỵ) mạch máu não do tắc mạch</t>
  </si>
  <si>
    <t>Được bào chế từ nhiều thành phần quý hiếm như: Đan sâm, tỏi đen, nấm đông trùng hạ thảo, Ngưu hoàng</t>
  </si>
  <si>
    <t>ĐÔNG TRÙNG HẠ THẢO</t>
  </si>
  <si>
    <t>Hộp 2 Lọ x 30 viên</t>
  </si>
  <si>
    <t>Hỗ trợ tăng cường sức khỏe, tăng cường sinh lực, nâng cao sức đề kháng, giảm mệt mỏi</t>
  </si>
  <si>
    <t>Tăng đề kháng cho người sức khỏe kém, suy nhược cơ thể, người mới ốm dậy.</t>
  </si>
  <si>
    <t>ROBIN  GOOD</t>
  </si>
  <si>
    <t>Hộp 30 Viên</t>
  </si>
  <si>
    <t>- Giúp hoạt huyết lưu thông máu
- Giảm Cholesterol, giảm nguy cơ tắc vữa động mạch
- Hỗ trợ cải thiện sức khỏe tim mạch</t>
  </si>
  <si>
    <t>- Sự kết hợp của Ginkgo và chiết xuất nần nghệ giúp gia tăng hiệu quả phòng ngừa tai biến do tắc mạch đồng thời giảm cholesterol máu</t>
  </si>
  <si>
    <t>ROBIN  GOOD (dạng vỉ)</t>
  </si>
  <si>
    <t>Hộp 60 Viên</t>
  </si>
  <si>
    <t>ROBIN NATTO</t>
  </si>
  <si>
    <t>Hộp 60 viên</t>
  </si>
  <si>
    <t>- Giúp hoạt huyết, tăng cường tuần hoàn máu não, làm tan cục máu đông
- Giúp cải thiện các triệu chứng rối loạn tiền đình
- Hỗ trợ giảm nguy cơ di chứng sau tai biến do tắc mạch</t>
  </si>
  <si>
    <t>- Sản phẩm bao gồm 2 loại viên màu xanh và đỏ trong cùng 1 vỉ để uống sáng và tối. Giúp chuyên biệt công dụng: sáng minh mẫn, tỉnh táo và tối an thần ngủ ngon
- Cảm nhận hiệu quả ngay sau khi sử dụng</t>
  </si>
  <si>
    <t>PHỤC THẦN GABA</t>
  </si>
  <si>
    <t>Hộp 3 Vỉ x 10 viên</t>
  </si>
  <si>
    <t>- Hỗ trợ dưỡng tâm an thần ,giúp ngủ ngon , ngủ sâu giấc cải thiện tình trạng mệt mỏi , suy nhược thần kinh do mất ngủ</t>
  </si>
  <si>
    <t>- Giúp ngủ sâu giấc, ngủ dậy không mệt mỏi</t>
  </si>
  <si>
    <t>BỔ THẦN KINH GABA ROBIN</t>
  </si>
  <si>
    <t>-Hỗ trợ các triệu chứng mệt mỏi, đau đầu, mất ngủ, căng thẳng,cải thiện tình trạng suy nhược thần kinh</t>
  </si>
  <si>
    <t>-Người trưởng thành có các triệu chứng, mệt mỏi, đau đầu, mất ngủ, căng thẳng, suy nhược thần kinh.</t>
  </si>
  <si>
    <t>FLEX MAX ROBIN</t>
  </si>
  <si>
    <t>Hộp x 60 viên</t>
  </si>
  <si>
    <t>Hỗ trợ giảm toái hóa khớp.Hỗ trợ giảm triệu chứng đâu khớp, khô khớp do viêm khớp, thoái hóa khớp</t>
  </si>
  <si>
    <t>Dùng cho người trưởng thành bị viêm khớp, thoái khóa khớp</t>
  </si>
  <si>
    <t>TRÀNG MỘC VIỆT</t>
  </si>
  <si>
    <t>Lọ 60 Viên</t>
  </si>
  <si>
    <t xml:space="preserve">- Hỗ trợ tăng cường tiêu hóa giúp cải thiện các triệu chứng của rối loạn tiêu hóa viêm đại tràng cấp và mãn tính </t>
  </si>
  <si>
    <t>- Hiệu quả nhanh, dùng cho viêm đại tràng cấp và mạn tính</t>
  </si>
  <si>
    <t>DẠ CẦM PLUS</t>
  </si>
  <si>
    <t>Hộp 20 Gói</t>
  </si>
  <si>
    <t>- Hỗ trợ giảm acid dịch vị, bảo về niêm mạc dạ dày tá tràng
- Hỗ trợ cải thiện các triệu chứng và giảm nguy cơ viêm loét dạ dày tá tràng</t>
  </si>
  <si>
    <t>- Cảm nhận hiệu quả nhanh, ngay sau khi sử dụng</t>
  </si>
  <si>
    <t>MAX- VITA</t>
  </si>
  <si>
    <t>Hộp 6 vỉ x 10 viên</t>
  </si>
  <si>
    <t>- Thanh nhiệt mát gan, giải độc gan
- Hỗ trợ tăng cường chức năng gan, trong các trường hợp: viêm gan, xơ gan, gan nhiễm mỡ, uống nhiều rượu bia, và thuốc có hại cho gan
- Hỗ trợ giảm các triệu chứng vàng da, mẩn ngứa nổi mề đay, men gan cao do chức năng gan kém</t>
  </si>
  <si>
    <t>- Sản phẩm chứa nhiều công dụng hỗ trợ trên vỏ hộp
- Giá thành cạnh tranh
- Đặc biệt chứa Cao nần vàng kết hợp cùng các vitamin giúp tăng hiệu quả</t>
  </si>
  <si>
    <t>VITA KIDS ROBIN</t>
  </si>
  <si>
    <t>Hộp 20 ống x 10ml</t>
  </si>
  <si>
    <t>- Hỗ trợ thanh nhiệt, mát gan, giải độc gan, bảo vệ gan,
-  Hỗ trợ giảm các triệu chứng rôm sảy, muunj nhọt, mề đay, mẩm ngứa, vàng da</t>
  </si>
  <si>
    <t>-Dùng cho trẻ em có các triệu chứng rôm sảy, mụn nhọt, mày đay, ngẩn ngứa, vàng da.</t>
  </si>
  <si>
    <t>AN XƠ ĐAN</t>
  </si>
  <si>
    <t>Lọ 30 viên</t>
  </si>
  <si>
    <t>Hỗ trợ hạn chế sự phát triển của u xơ cổ tử cung, u vú lành tính, u xơ tiền liệt tuyến lành tính</t>
  </si>
  <si>
    <t>Phụ nữ trưởng thành bị u xơ tử cung, u vú lành tính.
 Nam giới trưởng thành bị u xơ tiền liệt tuyến lành tính</t>
  </si>
  <si>
    <t>DORIMAX</t>
  </si>
  <si>
    <t>Hộp 10 vỉ x 10 viên</t>
  </si>
  <si>
    <t>Hỗ trợ giảm triệu chứng phù nề, sưng tấy, viêm họng</t>
  </si>
  <si>
    <t>Dùng cho người lớn có các triệu chứng phù nề, sưng tấy, viêm họng</t>
  </si>
  <si>
    <t>TIỂU ĐÊM ROBIN</t>
  </si>
  <si>
    <t>Hỗ trợ bổ thận, hỗ trợ giảm tình trạng tiểu đêm, tiểu nhiều lần, tiểu không tự chủ do chức năng thận kém</t>
  </si>
  <si>
    <t>- Có thành phần Khiếm thực, Phá cố chỉ
- Thành phần Thỏ ty tử, Ích trí nhân, Trinh nữa hoàng cung hàm lượng cao</t>
  </si>
  <si>
    <t>BỔ THẬN LỰC VƯƠNG</t>
  </si>
  <si>
    <t>Lọ 30 Viên</t>
  </si>
  <si>
    <t xml:space="preserve">- Hỗ trợ bổ thận tráng dương , giúp tăng cường sinh lực cho nam giới
- Hỗ trợ làm giảm nguy cơ mãn dục ở nam giới giảm các triệu chứng đau lưng mỏi gối, tiểu đêm tiểu nhiều lần </t>
  </si>
  <si>
    <t>- Chiết xuất hàu biển nhập khẩu New Zealand
- Chiết xuất hồng sâm nhập khẩu Hàn Quốc</t>
  </si>
  <si>
    <t>HAPPY WOMAN</t>
  </si>
  <si>
    <t>- Hỗ trợ cải thiện các triệu chứng do thiếu hụt nội tiết tố. Giúp giảm các triệu trứng của thời kỳ tiền mãn kinh , mãn kinh. Hỗ trợ giảm nám da , khô da, nhăn da, giúp làm  sáng da, đẹp da</t>
  </si>
  <si>
    <t>- Giải pháp hoàn hảo giúp cải thiện các triệu chứng thiếu hụt nội tiết tố an toàn, hiệu quả và tiết kiệm</t>
  </si>
  <si>
    <t>OPTIC GOLD +</t>
  </si>
  <si>
    <t xml:space="preserve">- Bổ sung các chất chống Oxy hóa cho mắt hỗ trợ giảm nguy cơ thoái hóa mắt đục thủy tinh thể 
- Hỗ trợ cải thiện thị lực giảm mỏi mắt mờ mắt , khô mắt </t>
  </si>
  <si>
    <t>- Kết hợp nhiều thành phần hỗ trợ cải thiện thị lực một cách nhanh chóng</t>
  </si>
  <si>
    <r>
      <t xml:space="preserve">BIOTOP PLUS
</t>
    </r>
    <r>
      <rPr>
        <sz val="16"/>
        <color theme="1"/>
        <rFont val="Times New Roman"/>
        <family val="1"/>
      </rPr>
      <t>(men nhập khẩu Hàn Quốc)</t>
    </r>
  </si>
  <si>
    <t>- Bổ sung các lợi khuẩn, hỗ trợ cải thiện hệ vi sinh đường ruột
- Hỗ trợ giảm nguy cơ, các triệu trứng rối loạn tiêu hóa do loạn khuẩn đường ruột</t>
  </si>
  <si>
    <t>- Sản phẩm sử dụng men nhập khẩu từ Hàn Quốc</t>
  </si>
  <si>
    <t>MEN VI SINH ROBIN</t>
  </si>
  <si>
    <t>Hộp 4 vỉ x 5 ống</t>
  </si>
  <si>
    <t>- Bổ sung lợi khuẩn, cải thiện hệ vi sinh đường ruột
- Hỗ trợ cải thiện các triệu chứng và giảm nguy cơ rối loạn tiêu hóa do loạn khuẩn đường ruột</t>
  </si>
  <si>
    <t>- Sản phẩm chứa 3 tỷ bảo tử
- Dùng được cho trẻ sơ sinh từ 0 tháng tuổi
- Hiệu quả tốt cả với người lớn: đi ngoài cấp có thể dùng 2 ống, êm bụng sau 30p sử dụng</t>
  </si>
  <si>
    <t>BIOTOP CARE</t>
  </si>
  <si>
    <t>Bổ sung lợi khuẩn đường ruột. Hỗ trợ giảm các triệu chứng rối loạn tiêu hóa do loạn khuẩn đường ruột.</t>
  </si>
  <si>
    <t>Dùng cho trẻ từ 06 tuổi trở lên và người lớn</t>
  </si>
  <si>
    <r>
      <t xml:space="preserve">A-Z FORKIDS
</t>
    </r>
    <r>
      <rPr>
        <sz val="16"/>
        <color theme="1"/>
        <rFont val="Times New Roman"/>
        <family val="1"/>
      </rPr>
      <t>(sữa non nhập khẩu mỹ)</t>
    </r>
  </si>
  <si>
    <t>Hộp 20 Ống</t>
  </si>
  <si>
    <t xml:space="preserve">- Bổ sung lysin và các acidamin cho cơ thể giúp bồi bổ sức khỏe
- Hỗ trợ tăng cường tiêu hóa, giúp ăn ngon, nâng cao sức đề kháng </t>
  </si>
  <si>
    <t>- Thành phần sữa non nhập khẩu từ Mỹ
- Hỗ trợ cải thiện hiệu quả tình trạng kém ăn của trẻ  rõ rệt trong vòng 1 tuần</t>
  </si>
  <si>
    <t>VIÊN KIKAO VIỆT</t>
  </si>
  <si>
    <t>Hộp  2 lọ x 30 viên</t>
  </si>
  <si>
    <t xml:space="preserve">- Hỗ trợ phát triển chiều cao , tăng cường hấp thu canxi giúp xương răng chắc khỏe
- Giảm nguy cơ còi xương ở trẻ và loãng xương ở người lớn </t>
  </si>
  <si>
    <t>- Giải pháp phát triển chiều cao ở trẻ em và bổ sung canxi cho người lớn.
- Sản phẩm chuyên biệt cho người Việt</t>
  </si>
  <si>
    <t>CALCIUM ROBIN</t>
  </si>
  <si>
    <t xml:space="preserve">Hộp 20 ống x 10ml </t>
  </si>
  <si>
    <t>Bổ sung canxi cho cơ thể, hỗ trợ xương và răng chắc khỏe. Hỗ trợ giảm nguy cơ còi xương ở trẻ và loãng xương ở người lớn. Giúp giảm nguy cơ thiếu hụt canxi ở phụ nữ mang thai và cho con bú</t>
  </si>
  <si>
    <t>Dùng cho trẻ em từ 01 tuổi trở lên và thanh niên đang trong giai đoạn phát triển. Phụ nữ mang thai và cho con bú</t>
  </si>
  <si>
    <t>CALCI AQUAMIF</t>
  </si>
  <si>
    <t>HP PLUS</t>
  </si>
  <si>
    <t>Hỗ trợ tăng khả năng tạo máu, giúp giảm thiếu máu do thiếu sắt và acid folic</t>
  </si>
  <si>
    <t>Dùng cho trẻ em từ 06 tháng tuổi trở lên và người lớn thiếu máu do thiếu sắt và acid folic</t>
  </si>
  <si>
    <t>SIRO HP PLUS</t>
  </si>
  <si>
    <t>Bổ sung sắt và acid folic cho cơ thể, hỗ trợ tăng khả năng tạo máu, giúp giảm thiếu máudo thiếu sắt</t>
  </si>
  <si>
    <t>VƯƠNG KHÍ PLUS</t>
  </si>
  <si>
    <t xml:space="preserve">- Giúp bổ phế , hỗ trợ giảm tăng tiết đờm ,ho nhiều đau rát họng khản tiếng do ho kéo dài 
- Giúp giảm hắt hơi sổ mũi nghẹt mũi do cảm lạnh </t>
  </si>
  <si>
    <t>- Dùng được cho trẻ sơ sinh, phụ nữ có thai và cho con bú</t>
  </si>
  <si>
    <t>VƯƠNG KHÍ PLUS (Dạng lọ)</t>
  </si>
  <si>
    <t>Lọ 100ml</t>
  </si>
  <si>
    <t>VIT C &amp; THYMIO ROBIN</t>
  </si>
  <si>
    <t>- Hỗ trợ tăng cường sức đề kháng cho cơ thể, giảm nguy cơ viêm đường hô hấp trên (mũi họng) do sức đề kháng kém</t>
  </si>
  <si>
    <t>- Sản phẩm chuyên biệt giúp tăng cường sức đề kháng đường hô hấp (mũi, họng)</t>
  </si>
  <si>
    <t>KEM NANO BẠC ROBIN</t>
  </si>
  <si>
    <t>Tuýp 30g</t>
  </si>
  <si>
    <t>- Giúp dưỡng da, làm mát da, dịu da
- Giúp kháng khuẩn trong các trường hợp như: Thủy đậu, chân tay miệng, chàm, hăm da, muỗi đốt, côn trùng cắn</t>
  </si>
  <si>
    <t>Giúp diệt tế bào vi khuẩn nhưng không diệt tế bào da, lại giúp nhanh liền vết thương, ngừa thâm sẹo</t>
  </si>
  <si>
    <t>XỊT HỌNG ROBIN</t>
  </si>
  <si>
    <t>Lọ 30ml</t>
  </si>
  <si>
    <t>- Giúp vệ sinh, làm sạch miệng, họng, làm dịu nhanh đau họng, ngứa họng, rát họng, hỗ trợ phòng viêm phế quản, viêm nhiễm đường hô hấp trên do virus, vi khuẩn gây ra
- Hỗ trợ ngăn ngừa và làm giảm các triệu chứng: ngứa rát cổ họng, đau họng, viêm họng…</t>
  </si>
  <si>
    <t>- Sản phẩm chứa cả Keo ong xanh và Xuyên tâm liên giúp hiệu quả nhanh chóng và an toàn</t>
  </si>
  <si>
    <t>XỊT MŨI MUỐI BIỂN ROBIN SPRAY (màu xanh+ màu hồng)</t>
  </si>
  <si>
    <t>Chai 70ml</t>
  </si>
  <si>
    <t>-Hỗ trợ phòng ngừa và làm giảm viêm đường hô hấp trên dạng nhẹ, viêm mũi họng, sổ mũi, nghẹt mũi, viêm xoang
- Giúp làm sạch và thông mũi họng, Hỗ trợ giảm tắc nghẽn mũi, Giúp trẻ em dễ thở hơn
- Giúp loại bỏ chất nhầy, vi khuẩn, vi rút và các tác nhân gây viêm nhiễm dị ứng mũi</t>
  </si>
  <si>
    <t>Phù hợp cho mọi đối tượng, an toàn cho trẻ từ 6 tháng tuổi</t>
  </si>
  <si>
    <t>VIÊN SỦI MAX VITA ACTISO</t>
  </si>
  <si>
    <t>Tuýp 20 viên</t>
  </si>
  <si>
    <t>- Hỗ trợ giải độc gan, mát gan, tăng cường chức năng gan
- Hỗ trợ giảm triệu chứng: mề đay, mẩn ngứa, vàng da, chán ăn, mệt mỏi do chức năng gan kém</t>
  </si>
  <si>
    <t>- Hương vị thơm ngon, dễ uống. Mẫu mã đẹp</t>
  </si>
  <si>
    <t>DORI BROMINE</t>
  </si>
  <si>
    <t>Lốc 10 Tuýp x 20 viên</t>
  </si>
  <si>
    <t>Hỗ trợ giảm triệu chứng phù nề, sưng tấy do chấn thương mô mềm, do viêm họng</t>
  </si>
  <si>
    <t>- Phù hợp với những trường hợp ho ngắn ngày, dài ngày, ho lâu ngày không khỏi.
- Dạng viên ngậm tiện lợi, dễ sử dụng</t>
  </si>
  <si>
    <t>KEM BÔI NGOÀI DA THUẦN VIỆT</t>
  </si>
  <si>
    <t>- Giúp dưỡng da, làm mát da, dịu da
- Giúp bảo vệ da trong các trường hợp: Nấm da đầu, nấm kẽ, nấm chân, viêm da dị ứng, viêm da cơ địa, chàm da, bị ngứa do côn trùng cắn</t>
  </si>
  <si>
    <t>BỘT VỆ SINH EVAPH</t>
  </si>
  <si>
    <t>Giúp làm sạch vùng kín, khử mùi hôi, ngăn ngừa vi khuẩn, nấm gây viêm nhiễm, ngứa và khô rát. Sản phẩm có độ pH cân bằng</t>
  </si>
  <si>
    <t>- Sản phẩm tạo bọt, dễ sử dụng
- Dùng được cho cả nam và nữ</t>
  </si>
  <si>
    <t xml:space="preserve">Ghi chú: </t>
  </si>
  <si>
    <t>- Đơn giá trên chưa bao gồm thuế VAT.</t>
  </si>
  <si>
    <t>- Bảng báo giá áp dụng cho các Phòng Khám, Quầy Thuốc, Nhà Thuốc trong cả nước.</t>
  </si>
  <si>
    <t>-Kính mong nhận được sự hợp tác của quý đối tác!</t>
  </si>
  <si>
    <t>-Mọi chi tiết vui lòng liên hệ : CÔNG TY TNHH ROBIN GROUP , ĐT: 0973546024-0971956951. Hotline: 0868829666</t>
  </si>
  <si>
    <r>
      <rPr>
        <b/>
        <sz val="18"/>
        <color theme="1"/>
        <rFont val="Times New Roman"/>
        <family val="1"/>
      </rPr>
      <t>GIÁM ĐỐC</t>
    </r>
    <r>
      <rPr>
        <sz val="18"/>
        <color theme="1"/>
        <rFont val="Times New Roman"/>
        <family val="1"/>
      </rPr>
      <t xml:space="preserve">
 (Ký tên, đóng dấu)
</t>
    </r>
  </si>
  <si>
    <t>GIÁ ĐỀ XUẤT BÁN LẺ</t>
  </si>
  <si>
    <t>BẢNG GIÁ CHƯƠNG TRÌNH BÁN HÀNG NHÀ PHÂN PHỐI MIỀN BẮC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</si>
</sst>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8" x14ac:knownFonts="1">
    <font>
      <sz val="11"/>
      <color theme="1"/>
      <name val="Arial"/>
      <family val="2"/>
      <scheme val="minor"/>
    </font>
    <font>
      <sz val="11"/>
      <color theme="1"/>
      <name val="Arial"/>
      <family val="2"/>
      <scheme val="minor"/>
    </font>
    <font>
      <sz val="16"/>
      <color theme="1"/>
      <name val="Times New Roman"/>
      <family val="1"/>
    </font>
    <font>
      <b/>
      <sz val="36"/>
      <color theme="1"/>
      <name val="Times New Roman"/>
      <family val="1"/>
    </font>
    <font>
      <sz val="24"/>
      <color theme="1"/>
      <name val="Times New Roman"/>
      <family val="1"/>
    </font>
    <font>
      <i/>
      <sz val="24"/>
      <color theme="1"/>
      <name val="Times New Roman"/>
      <family val="1"/>
    </font>
    <font>
      <sz val="18"/>
      <color theme="1"/>
      <name val="Times New Roman"/>
      <family val="1"/>
    </font>
    <font>
      <b/>
      <sz val="16"/>
      <color theme="1"/>
      <name val="Times New Roman"/>
      <family val="1"/>
    </font>
    <font>
      <b/>
      <sz val="20"/>
      <color theme="1"/>
      <name val="Times New Roman"/>
      <family val="1"/>
    </font>
    <font>
      <b/>
      <sz val="20"/>
      <color rgb="FFFF0000"/>
      <name val="Times New Roman"/>
      <family val="1"/>
    </font>
    <font>
      <b/>
      <sz val="20"/>
      <color rgb="FF002060"/>
      <name val="Times New Roman"/>
      <family val="1"/>
    </font>
    <font>
      <sz val="11"/>
      <color rgb="FF7030A0"/>
      <name val="Arial"/>
      <family val="2"/>
      <scheme val="minor"/>
    </font>
    <font>
      <b/>
      <sz val="15"/>
      <color theme="1"/>
      <name val="Times New Roman"/>
      <family val="1"/>
    </font>
    <font>
      <sz val="11"/>
      <color rgb="FF0070C0"/>
      <name val="Arial"/>
      <family val="2"/>
      <scheme val="minor"/>
    </font>
    <font>
      <b/>
      <sz val="18"/>
      <color theme="1"/>
      <name val="Times New Roman"/>
      <family val="1"/>
    </font>
    <font>
      <sz val="16"/>
      <color theme="8"/>
      <name val="Times New Roman"/>
      <family val="1"/>
    </font>
    <font>
      <b/>
      <sz val="16"/>
      <color theme="8"/>
      <name val="Times New Roman"/>
      <family val="1"/>
    </font>
    <font>
      <b/>
      <sz val="20"/>
      <color theme="8"/>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43">
    <xf numFmtId="0" fontId="0" fillId="0" borderId="0" xfId="0"/>
    <xf numFmtId="0" fontId="0" fillId="0" borderId="0" xfId="0" applyFill="1"/>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0" fillId="0" borderId="0" xfId="0" applyFill="1" applyAlignment="1">
      <alignment horizontal="center"/>
    </xf>
    <xf numFmtId="0" fontId="2" fillId="2" borderId="0" xfId="0" applyFont="1" applyFill="1" applyAlignment="1">
      <alignment vertical="center"/>
    </xf>
    <xf numFmtId="0" fontId="7" fillId="3" borderId="2" xfId="0" applyFont="1" applyFill="1" applyBorder="1" applyAlignment="1">
      <alignment horizontal="center" vertical="center"/>
    </xf>
    <xf numFmtId="165" fontId="7" fillId="3" borderId="2" xfId="1" applyNumberFormat="1" applyFont="1" applyFill="1" applyBorder="1" applyAlignment="1">
      <alignment horizontal="center" vertical="center" wrapText="1"/>
    </xf>
    <xf numFmtId="0" fontId="0" fillId="0" borderId="0" xfId="0" applyFill="1" applyAlignment="1">
      <alignment horizontal="center" vertical="center"/>
    </xf>
    <xf numFmtId="0" fontId="2" fillId="2" borderId="2" xfId="0" applyFont="1" applyFill="1" applyBorder="1" applyAlignment="1">
      <alignment horizontal="center" vertical="center"/>
    </xf>
    <xf numFmtId="0" fontId="7"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2" xfId="0" quotePrefix="1" applyFont="1" applyFill="1" applyBorder="1" applyAlignment="1">
      <alignment horizontal="left" vertical="center" wrapText="1"/>
    </xf>
    <xf numFmtId="0" fontId="2" fillId="2" borderId="2" xfId="0" quotePrefix="1" applyFont="1" applyFill="1" applyBorder="1" applyAlignment="1">
      <alignment horizontal="left" vertical="top" wrapText="1"/>
    </xf>
    <xf numFmtId="165" fontId="8" fillId="2" borderId="2" xfId="1" applyNumberFormat="1" applyFont="1" applyFill="1" applyBorder="1" applyAlignment="1">
      <alignment horizontal="center" vertical="center"/>
    </xf>
    <xf numFmtId="165" fontId="9" fillId="2" borderId="2" xfId="1" applyNumberFormat="1" applyFont="1" applyFill="1" applyBorder="1" applyAlignment="1">
      <alignment horizontal="center" vertical="center"/>
    </xf>
    <xf numFmtId="165" fontId="10" fillId="2" borderId="2" xfId="1" applyNumberFormat="1" applyFont="1" applyFill="1" applyBorder="1" applyAlignment="1">
      <alignment horizontal="center" vertical="center"/>
    </xf>
    <xf numFmtId="0" fontId="2" fillId="2" borderId="2" xfId="0" quotePrefix="1" applyFont="1" applyFill="1" applyBorder="1" applyAlignment="1">
      <alignment vertical="center" wrapText="1"/>
    </xf>
    <xf numFmtId="11" fontId="2" fillId="2" borderId="2" xfId="0" quotePrefix="1" applyNumberFormat="1" applyFont="1" applyFill="1" applyBorder="1" applyAlignment="1">
      <alignment horizontal="left" vertical="center" wrapText="1"/>
    </xf>
    <xf numFmtId="0" fontId="11" fillId="2" borderId="0" xfId="0" applyFont="1" applyFill="1" applyAlignment="1">
      <alignment horizontal="center"/>
    </xf>
    <xf numFmtId="0" fontId="12" fillId="2" borderId="2" xfId="0" applyFont="1" applyFill="1" applyBorder="1" applyAlignment="1">
      <alignment horizontal="center" vertical="center" wrapText="1"/>
    </xf>
    <xf numFmtId="0" fontId="13" fillId="0" borderId="0" xfId="0" applyFont="1" applyFill="1" applyAlignment="1">
      <alignment horizontal="center"/>
    </xf>
    <xf numFmtId="0" fontId="2" fillId="2" borderId="0" xfId="0" applyFont="1" applyFill="1" applyBorder="1" applyAlignment="1">
      <alignment horizontal="center" vertical="center"/>
    </xf>
    <xf numFmtId="0" fontId="7" fillId="2" borderId="0" xfId="0" applyFont="1" applyFill="1" applyAlignment="1">
      <alignment horizontal="left"/>
    </xf>
    <xf numFmtId="0" fontId="7" fillId="2" borderId="0" xfId="0" applyFont="1" applyFill="1" applyAlignment="1"/>
    <xf numFmtId="0" fontId="6" fillId="2" borderId="0" xfId="0" applyFont="1" applyFill="1" applyBorder="1" applyAlignment="1">
      <alignment horizontal="center"/>
    </xf>
    <xf numFmtId="165" fontId="14" fillId="2" borderId="0" xfId="1" applyNumberFormat="1" applyFont="1" applyFill="1" applyAlignment="1">
      <alignment horizontal="center"/>
    </xf>
    <xf numFmtId="0" fontId="6" fillId="2" borderId="0" xfId="0" applyFont="1" applyFill="1" applyAlignment="1">
      <alignment horizontal="center"/>
    </xf>
    <xf numFmtId="0" fontId="2" fillId="2" borderId="0" xfId="0" applyFont="1" applyFill="1" applyAlignment="1">
      <alignment horizontal="left"/>
    </xf>
    <xf numFmtId="0" fontId="2" fillId="2" borderId="0" xfId="0" applyFont="1" applyFill="1"/>
    <xf numFmtId="0" fontId="2" fillId="2" borderId="0" xfId="0" applyFont="1" applyFill="1" applyAlignment="1">
      <alignment horizontal="left" vertical="top"/>
    </xf>
    <xf numFmtId="0" fontId="6" fillId="2" borderId="0" xfId="0" applyFont="1" applyFill="1" applyAlignment="1">
      <alignment horizontal="center" vertical="top" wrapText="1"/>
    </xf>
    <xf numFmtId="165" fontId="7" fillId="2" borderId="0" xfId="1" applyNumberFormat="1" applyFont="1" applyFill="1" applyAlignment="1">
      <alignment horizontal="center" vertical="center"/>
    </xf>
    <xf numFmtId="0" fontId="15" fillId="3" borderId="2" xfId="0" applyFont="1" applyFill="1" applyBorder="1" applyAlignment="1">
      <alignment horizontal="center" vertical="center"/>
    </xf>
    <xf numFmtId="0" fontId="16" fillId="3" borderId="2"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3" borderId="2" xfId="0" quotePrefix="1" applyFont="1" applyFill="1" applyBorder="1" applyAlignment="1">
      <alignment horizontal="left" vertical="center" wrapText="1"/>
    </xf>
    <xf numFmtId="165" fontId="17" fillId="3" borderId="2" xfId="1" applyNumberFormat="1" applyFont="1" applyFill="1" applyBorder="1" applyAlignment="1">
      <alignment horizontal="center" vertical="center"/>
    </xf>
    <xf numFmtId="0" fontId="14" fillId="2" borderId="0" xfId="0" quotePrefix="1" applyFont="1" applyFill="1" applyAlignment="1">
      <alignment horizontal="left"/>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3" fillId="2" borderId="0" xfId="0" applyFont="1" applyFill="1" applyAlignment="1">
      <alignment horizontal="center" vertical="center"/>
    </xf>
    <xf numFmtId="0" fontId="6" fillId="2" borderId="1" xfId="0" applyFont="1" applyFill="1" applyBorder="1" applyAlignment="1">
      <alignment horizontal="left" vertical="center" wrapText="1"/>
    </xf>
  </cellXfs>
  <cellStyles count="2">
    <cellStyle name="Bình thường" xfId="0" builtinId="0"/>
    <cellStyle name="Dấu phẩy" xfId="1" builtinId="3"/>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calcChain" Target="calcChain.xml" /><Relationship Id="rId4" Type="http://schemas.openxmlformats.org/officeDocument/2006/relationships/sharedStrings" Target="sharedString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1</xdr:col>
      <xdr:colOff>664253</xdr:colOff>
      <xdr:row>0</xdr:row>
      <xdr:rowOff>0</xdr:rowOff>
    </xdr:from>
    <xdr:to>
      <xdr:col>2</xdr:col>
      <xdr:colOff>37191</xdr:colOff>
      <xdr:row>2</xdr:row>
      <xdr:rowOff>73025</xdr:rowOff>
    </xdr:to>
    <xdr:pic>
      <xdr:nvPicPr>
        <xdr:cNvPr id="2" name="Picture 1">
          <a:extLst>
            <a:ext uri="{FF2B5EF4-FFF2-40B4-BE49-F238E27FC236}">
              <a16:creationId xmlns:a16="http://schemas.microsoft.com/office/drawing/2014/main" id="{00000000-0008-0000-00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862" r="4301" b="15883"/>
        <a:stretch/>
      </xdr:blipFill>
      <xdr:spPr bwMode="auto">
        <a:xfrm>
          <a:off x="1169078" y="0"/>
          <a:ext cx="2173288" cy="2368550"/>
        </a:xfrm>
        <a:prstGeom prst="rect">
          <a:avLst/>
        </a:prstGeom>
        <a:noFill/>
        <a:ln>
          <a:noFill/>
        </a:ln>
      </xdr:spPr>
    </xdr:pic>
    <xdr:clientData/>
  </xdr:twoCellAnchor>
  <xdr:twoCellAnchor editAs="oneCell">
    <xdr:from>
      <xdr:col>4</xdr:col>
      <xdr:colOff>79375</xdr:colOff>
      <xdr:row>48</xdr:row>
      <xdr:rowOff>591346</xdr:rowOff>
    </xdr:from>
    <xdr:to>
      <xdr:col>5</xdr:col>
      <xdr:colOff>889000</xdr:colOff>
      <xdr:row>62</xdr:row>
      <xdr:rowOff>174626</xdr:rowOff>
    </xdr:to>
    <xdr:pic>
      <xdr:nvPicPr>
        <xdr:cNvPr id="3" name="Picture 2" descr="E:\CONG TY ROBIN GROUP\NĂM 2024\LUONG 2024\CƠ CHẾ LƯƠNG NĂM 2024\chu ky giam doc.jpg">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37750" y="46987621"/>
          <a:ext cx="4362450" cy="3755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view="pageBreakPreview" topLeftCell="C1" zoomScale="45" zoomScaleNormal="80" zoomScaleSheetLayoutView="45" workbookViewId="0">
      <pane ySplit="5" topLeftCell="C33" activePane="bottomLeft" state="frozen"/>
      <selection activeCell="C1" sqref="C1"/>
      <selection pane="bottomLeft" activeCell="A3" sqref="A3:H3"/>
    </sheetView>
  </sheetViews>
  <sheetFormatPr defaultColWidth="8.703125" defaultRowHeight="21" x14ac:dyDescent="0.25"/>
  <cols>
    <col min="1" max="1" width="7.59765625" style="5" customWidth="1"/>
    <col min="2" max="2" width="42.046875" style="28" customWidth="1"/>
    <col min="3" max="3" width="27.703125" style="29" customWidth="1"/>
    <col min="4" max="4" width="70.4921875" style="30" customWidth="1"/>
    <col min="5" max="5" width="53.203125" style="30" customWidth="1"/>
    <col min="6" max="6" width="21.20703125" style="32" customWidth="1"/>
    <col min="7" max="7" width="24.1484375" style="1" customWidth="1"/>
    <col min="8" max="8" width="19.4921875" style="4" customWidth="1"/>
    <col min="9" max="11" width="31.26171875" style="1" customWidth="1"/>
    <col min="12" max="16384" width="8.703125" style="1"/>
  </cols>
  <sheetData>
    <row r="1" spans="1:8" ht="154.5" customHeight="1" x14ac:dyDescent="0.15">
      <c r="A1" s="39"/>
      <c r="B1" s="39"/>
      <c r="C1" s="40" t="s">
        <v>0</v>
      </c>
      <c r="D1" s="40"/>
      <c r="E1" s="40"/>
      <c r="F1" s="40"/>
      <c r="G1" s="40"/>
      <c r="H1" s="40"/>
    </row>
    <row r="2" spans="1:8" ht="26.25" customHeight="1" x14ac:dyDescent="0.15">
      <c r="A2" s="2"/>
      <c r="B2" s="2"/>
      <c r="C2" s="3"/>
      <c r="D2" s="2"/>
      <c r="E2" s="2"/>
      <c r="F2" s="2"/>
    </row>
    <row r="3" spans="1:8" ht="64.5" customHeight="1" x14ac:dyDescent="0.15">
      <c r="A3" s="41" t="s">
        <v>142</v>
      </c>
      <c r="B3" s="41"/>
      <c r="C3" s="41"/>
      <c r="D3" s="41"/>
      <c r="E3" s="41"/>
      <c r="F3" s="41"/>
      <c r="G3" s="41"/>
      <c r="H3" s="41"/>
    </row>
    <row r="4" spans="1:8" ht="9" customHeight="1" x14ac:dyDescent="0.15">
      <c r="B4" s="42"/>
      <c r="C4" s="42"/>
      <c r="D4" s="42"/>
      <c r="E4" s="42"/>
      <c r="F4" s="1"/>
    </row>
    <row r="5" spans="1:8" s="8" customFormat="1" ht="87.75" customHeight="1" x14ac:dyDescent="0.25">
      <c r="A5" s="6" t="s">
        <v>1</v>
      </c>
      <c r="B5" s="6" t="s">
        <v>2</v>
      </c>
      <c r="C5" s="6" t="s">
        <v>3</v>
      </c>
      <c r="D5" s="6" t="s">
        <v>4</v>
      </c>
      <c r="E5" s="6" t="s">
        <v>5</v>
      </c>
      <c r="F5" s="7" t="s">
        <v>141</v>
      </c>
      <c r="G5" s="7" t="s">
        <v>6</v>
      </c>
      <c r="H5" s="7" t="s">
        <v>7</v>
      </c>
    </row>
    <row r="6" spans="1:8" s="4" customFormat="1" ht="90.75" customHeight="1" x14ac:dyDescent="0.25">
      <c r="A6" s="9">
        <v>1</v>
      </c>
      <c r="B6" s="10" t="s">
        <v>8</v>
      </c>
      <c r="C6" s="11" t="s">
        <v>9</v>
      </c>
      <c r="D6" s="12" t="s">
        <v>10</v>
      </c>
      <c r="E6" s="13" t="s">
        <v>11</v>
      </c>
      <c r="F6" s="14">
        <v>1100000</v>
      </c>
      <c r="G6" s="15">
        <v>350000</v>
      </c>
      <c r="H6" s="16">
        <f>100-(G6/F6*100)</f>
        <v>68.181818181818187</v>
      </c>
    </row>
    <row r="7" spans="1:8" ht="64.5" customHeight="1" x14ac:dyDescent="0.25">
      <c r="A7" s="9">
        <f>+A6+1</f>
        <v>2</v>
      </c>
      <c r="B7" s="10" t="s">
        <v>12</v>
      </c>
      <c r="C7" s="11" t="s">
        <v>13</v>
      </c>
      <c r="D7" s="12" t="s">
        <v>14</v>
      </c>
      <c r="E7" s="13" t="s">
        <v>15</v>
      </c>
      <c r="F7" s="14">
        <v>350000</v>
      </c>
      <c r="G7" s="15">
        <v>107000</v>
      </c>
      <c r="H7" s="16">
        <f t="shared" ref="H7:H42" si="0">100-(G7/F7*100)</f>
        <v>69.428571428571431</v>
      </c>
    </row>
    <row r="8" spans="1:8" s="4" customFormat="1" ht="71.25" customHeight="1" x14ac:dyDescent="0.25">
      <c r="A8" s="9">
        <f t="shared" ref="A8:A37" si="1">+A7+1</f>
        <v>3</v>
      </c>
      <c r="B8" s="10" t="s">
        <v>16</v>
      </c>
      <c r="C8" s="11" t="s">
        <v>17</v>
      </c>
      <c r="D8" s="12" t="s">
        <v>18</v>
      </c>
      <c r="E8" s="13" t="s">
        <v>19</v>
      </c>
      <c r="F8" s="14">
        <v>130000</v>
      </c>
      <c r="G8" s="15">
        <v>44000</v>
      </c>
      <c r="H8" s="16">
        <f t="shared" si="0"/>
        <v>66.15384615384616</v>
      </c>
    </row>
    <row r="9" spans="1:8" s="4" customFormat="1" ht="71.25" customHeight="1" x14ac:dyDescent="0.25">
      <c r="A9" s="9">
        <f t="shared" si="1"/>
        <v>4</v>
      </c>
      <c r="B9" s="10" t="s">
        <v>20</v>
      </c>
      <c r="C9" s="11" t="s">
        <v>21</v>
      </c>
      <c r="D9" s="12" t="s">
        <v>18</v>
      </c>
      <c r="E9" s="13" t="s">
        <v>19</v>
      </c>
      <c r="F9" s="14">
        <v>260000</v>
      </c>
      <c r="G9" s="15">
        <v>96000</v>
      </c>
      <c r="H9" s="16">
        <f t="shared" si="0"/>
        <v>63.076923076923073</v>
      </c>
    </row>
    <row r="10" spans="1:8" s="4" customFormat="1" ht="102.75" customHeight="1" x14ac:dyDescent="0.25">
      <c r="A10" s="9">
        <f t="shared" si="1"/>
        <v>5</v>
      </c>
      <c r="B10" s="10" t="s">
        <v>22</v>
      </c>
      <c r="C10" s="11" t="s">
        <v>23</v>
      </c>
      <c r="D10" s="12" t="s">
        <v>24</v>
      </c>
      <c r="E10" s="13" t="s">
        <v>25</v>
      </c>
      <c r="F10" s="14">
        <v>150000</v>
      </c>
      <c r="G10" s="15">
        <v>50000</v>
      </c>
      <c r="H10" s="16">
        <f t="shared" si="0"/>
        <v>66.666666666666671</v>
      </c>
    </row>
    <row r="11" spans="1:8" s="4" customFormat="1" ht="64.5" customHeight="1" x14ac:dyDescent="0.25">
      <c r="A11" s="9">
        <f t="shared" si="1"/>
        <v>6</v>
      </c>
      <c r="B11" s="10" t="s">
        <v>26</v>
      </c>
      <c r="C11" s="11" t="s">
        <v>27</v>
      </c>
      <c r="D11" s="12" t="s">
        <v>28</v>
      </c>
      <c r="E11" s="12" t="s">
        <v>29</v>
      </c>
      <c r="F11" s="14">
        <v>140000</v>
      </c>
      <c r="G11" s="15">
        <v>48000</v>
      </c>
      <c r="H11" s="16">
        <f t="shared" si="0"/>
        <v>65.714285714285722</v>
      </c>
    </row>
    <row r="12" spans="1:8" s="4" customFormat="1" ht="64.5" customHeight="1" x14ac:dyDescent="0.25">
      <c r="A12" s="9">
        <f t="shared" si="1"/>
        <v>7</v>
      </c>
      <c r="B12" s="10" t="s">
        <v>30</v>
      </c>
      <c r="C12" s="11" t="s">
        <v>27</v>
      </c>
      <c r="D12" s="12" t="s">
        <v>31</v>
      </c>
      <c r="E12" s="12" t="s">
        <v>32</v>
      </c>
      <c r="F12" s="14">
        <v>135000</v>
      </c>
      <c r="G12" s="15">
        <v>36000</v>
      </c>
      <c r="H12" s="16">
        <f t="shared" si="0"/>
        <v>73.333333333333329</v>
      </c>
    </row>
    <row r="13" spans="1:8" s="4" customFormat="1" ht="75.75" customHeight="1" x14ac:dyDescent="0.25">
      <c r="A13" s="9">
        <f t="shared" si="1"/>
        <v>8</v>
      </c>
      <c r="B13" s="10" t="s">
        <v>33</v>
      </c>
      <c r="C13" s="11" t="s">
        <v>34</v>
      </c>
      <c r="D13" s="12" t="s">
        <v>35</v>
      </c>
      <c r="E13" s="12" t="s">
        <v>36</v>
      </c>
      <c r="F13" s="14">
        <v>260000</v>
      </c>
      <c r="G13" s="15">
        <v>78000</v>
      </c>
      <c r="H13" s="16">
        <f t="shared" si="0"/>
        <v>70</v>
      </c>
    </row>
    <row r="14" spans="1:8" s="4" customFormat="1" ht="81.75" customHeight="1" x14ac:dyDescent="0.25">
      <c r="A14" s="9">
        <f t="shared" si="1"/>
        <v>9</v>
      </c>
      <c r="B14" s="10" t="s">
        <v>37</v>
      </c>
      <c r="C14" s="11" t="s">
        <v>38</v>
      </c>
      <c r="D14" s="12" t="s">
        <v>39</v>
      </c>
      <c r="E14" s="12" t="s">
        <v>40</v>
      </c>
      <c r="F14" s="14">
        <v>210000</v>
      </c>
      <c r="G14" s="15">
        <v>75000</v>
      </c>
      <c r="H14" s="16">
        <f t="shared" si="0"/>
        <v>64.285714285714278</v>
      </c>
    </row>
    <row r="15" spans="1:8" s="4" customFormat="1" ht="71.25" customHeight="1" x14ac:dyDescent="0.25">
      <c r="A15" s="9">
        <f t="shared" si="1"/>
        <v>10</v>
      </c>
      <c r="B15" s="10" t="s">
        <v>41</v>
      </c>
      <c r="C15" s="11" t="s">
        <v>42</v>
      </c>
      <c r="D15" s="17" t="s">
        <v>43</v>
      </c>
      <c r="E15" s="12" t="s">
        <v>44</v>
      </c>
      <c r="F15" s="14">
        <v>150000</v>
      </c>
      <c r="G15" s="15">
        <v>50000</v>
      </c>
      <c r="H15" s="16">
        <f t="shared" si="0"/>
        <v>66.666666666666671</v>
      </c>
    </row>
    <row r="16" spans="1:8" s="4" customFormat="1" ht="118.5" customHeight="1" x14ac:dyDescent="0.25">
      <c r="A16" s="9">
        <f t="shared" si="1"/>
        <v>11</v>
      </c>
      <c r="B16" s="10" t="s">
        <v>45</v>
      </c>
      <c r="C16" s="11" t="s">
        <v>46</v>
      </c>
      <c r="D16" s="12" t="s">
        <v>47</v>
      </c>
      <c r="E16" s="12" t="s">
        <v>48</v>
      </c>
      <c r="F16" s="14">
        <v>180000</v>
      </c>
      <c r="G16" s="15">
        <v>55000</v>
      </c>
      <c r="H16" s="16">
        <f t="shared" si="0"/>
        <v>69.444444444444443</v>
      </c>
    </row>
    <row r="17" spans="1:8" s="4" customFormat="1" ht="72" customHeight="1" x14ac:dyDescent="0.25">
      <c r="A17" s="9">
        <f t="shared" si="1"/>
        <v>12</v>
      </c>
      <c r="B17" s="10" t="s">
        <v>49</v>
      </c>
      <c r="C17" s="11" t="s">
        <v>50</v>
      </c>
      <c r="D17" s="12" t="s">
        <v>51</v>
      </c>
      <c r="E17" s="12" t="s">
        <v>52</v>
      </c>
      <c r="F17" s="14">
        <v>90000</v>
      </c>
      <c r="G17" s="15">
        <v>29000</v>
      </c>
      <c r="H17" s="16">
        <f t="shared" si="0"/>
        <v>67.777777777777771</v>
      </c>
    </row>
    <row r="18" spans="1:8" s="4" customFormat="1" ht="92.25" customHeight="1" x14ac:dyDescent="0.25">
      <c r="A18" s="9">
        <f t="shared" si="1"/>
        <v>13</v>
      </c>
      <c r="B18" s="10" t="s">
        <v>53</v>
      </c>
      <c r="C18" s="11" t="s">
        <v>54</v>
      </c>
      <c r="D18" s="12" t="s">
        <v>55</v>
      </c>
      <c r="E18" s="12" t="s">
        <v>56</v>
      </c>
      <c r="F18" s="14">
        <v>130000</v>
      </c>
      <c r="G18" s="15">
        <v>39000</v>
      </c>
      <c r="H18" s="16">
        <f t="shared" si="0"/>
        <v>70</v>
      </c>
    </row>
    <row r="19" spans="1:8" s="4" customFormat="1" ht="60.75" customHeight="1" x14ac:dyDescent="0.25">
      <c r="A19" s="9">
        <f t="shared" si="1"/>
        <v>14</v>
      </c>
      <c r="B19" s="10" t="s">
        <v>57</v>
      </c>
      <c r="C19" s="11" t="s">
        <v>58</v>
      </c>
      <c r="D19" s="12" t="s">
        <v>59</v>
      </c>
      <c r="E19" s="12" t="s">
        <v>60</v>
      </c>
      <c r="F19" s="14">
        <v>150000</v>
      </c>
      <c r="G19" s="15">
        <v>52000</v>
      </c>
      <c r="H19" s="16">
        <f t="shared" si="0"/>
        <v>65.333333333333329</v>
      </c>
    </row>
    <row r="20" spans="1:8" s="4" customFormat="1" ht="63.75" customHeight="1" x14ac:dyDescent="0.25">
      <c r="A20" s="9">
        <f t="shared" si="1"/>
        <v>15</v>
      </c>
      <c r="B20" s="10" t="s">
        <v>61</v>
      </c>
      <c r="C20" s="11" t="s">
        <v>54</v>
      </c>
      <c r="D20" s="12" t="s">
        <v>62</v>
      </c>
      <c r="E20" s="13" t="s">
        <v>63</v>
      </c>
      <c r="F20" s="14">
        <v>140000</v>
      </c>
      <c r="G20" s="15">
        <v>48000</v>
      </c>
      <c r="H20" s="16">
        <f>100-(G20/F20*100)</f>
        <v>65.714285714285722</v>
      </c>
    </row>
    <row r="21" spans="1:8" s="4" customFormat="1" ht="96" customHeight="1" x14ac:dyDescent="0.25">
      <c r="A21" s="9">
        <f t="shared" si="1"/>
        <v>16</v>
      </c>
      <c r="B21" s="10" t="s">
        <v>64</v>
      </c>
      <c r="C21" s="11" t="s">
        <v>65</v>
      </c>
      <c r="D21" s="12" t="s">
        <v>66</v>
      </c>
      <c r="E21" s="12" t="s">
        <v>67</v>
      </c>
      <c r="F21" s="14">
        <v>320000</v>
      </c>
      <c r="G21" s="15">
        <v>95000</v>
      </c>
      <c r="H21" s="16">
        <f t="shared" si="0"/>
        <v>70.3125</v>
      </c>
    </row>
    <row r="22" spans="1:8" s="4" customFormat="1" ht="89.25" customHeight="1" x14ac:dyDescent="0.25">
      <c r="A22" s="9">
        <f t="shared" si="1"/>
        <v>17</v>
      </c>
      <c r="B22" s="10" t="s">
        <v>68</v>
      </c>
      <c r="C22" s="11" t="s">
        <v>54</v>
      </c>
      <c r="D22" s="12" t="s">
        <v>69</v>
      </c>
      <c r="E22" s="12" t="s">
        <v>70</v>
      </c>
      <c r="F22" s="14">
        <v>420000</v>
      </c>
      <c r="G22" s="15">
        <v>148000</v>
      </c>
      <c r="H22" s="16">
        <f t="shared" si="0"/>
        <v>64.761904761904759</v>
      </c>
    </row>
    <row r="23" spans="1:8" s="4" customFormat="1" ht="75.75" customHeight="1" x14ac:dyDescent="0.25">
      <c r="A23" s="9">
        <f t="shared" si="1"/>
        <v>18</v>
      </c>
      <c r="B23" s="10" t="s">
        <v>71</v>
      </c>
      <c r="C23" s="11" t="s">
        <v>13</v>
      </c>
      <c r="D23" s="12" t="s">
        <v>72</v>
      </c>
      <c r="E23" s="18" t="s">
        <v>73</v>
      </c>
      <c r="F23" s="14">
        <v>350000</v>
      </c>
      <c r="G23" s="15">
        <v>100000</v>
      </c>
      <c r="H23" s="16">
        <f>100-(G23/F23*100)</f>
        <v>71.428571428571431</v>
      </c>
    </row>
    <row r="24" spans="1:8" s="4" customFormat="1" ht="73.5" customHeight="1" x14ac:dyDescent="0.25">
      <c r="A24" s="9">
        <f t="shared" si="1"/>
        <v>19</v>
      </c>
      <c r="B24" s="10" t="s">
        <v>74</v>
      </c>
      <c r="C24" s="11" t="s">
        <v>42</v>
      </c>
      <c r="D24" s="12" t="s">
        <v>75</v>
      </c>
      <c r="E24" s="12" t="s">
        <v>76</v>
      </c>
      <c r="F24" s="14">
        <v>140000</v>
      </c>
      <c r="G24" s="15">
        <v>48000</v>
      </c>
      <c r="H24" s="16">
        <f t="shared" si="0"/>
        <v>65.714285714285722</v>
      </c>
    </row>
    <row r="25" spans="1:8" s="4" customFormat="1" ht="120.75" customHeight="1" x14ac:dyDescent="0.25">
      <c r="A25" s="9">
        <f t="shared" si="1"/>
        <v>20</v>
      </c>
      <c r="B25" s="10" t="s">
        <v>77</v>
      </c>
      <c r="C25" s="11" t="s">
        <v>78</v>
      </c>
      <c r="D25" s="12" t="s">
        <v>79</v>
      </c>
      <c r="E25" s="13" t="s">
        <v>80</v>
      </c>
      <c r="F25" s="14">
        <v>130000</v>
      </c>
      <c r="G25" s="15">
        <v>39000</v>
      </c>
      <c r="H25" s="16">
        <f t="shared" si="0"/>
        <v>70</v>
      </c>
    </row>
    <row r="26" spans="1:8" s="4" customFormat="1" ht="66" customHeight="1" x14ac:dyDescent="0.25">
      <c r="A26" s="9">
        <f t="shared" si="1"/>
        <v>21</v>
      </c>
      <c r="B26" s="10" t="s">
        <v>81</v>
      </c>
      <c r="C26" s="11" t="s">
        <v>34</v>
      </c>
      <c r="D26" s="12" t="s">
        <v>82</v>
      </c>
      <c r="E26" s="12" t="s">
        <v>83</v>
      </c>
      <c r="F26" s="14">
        <v>150000</v>
      </c>
      <c r="G26" s="15">
        <v>50000</v>
      </c>
      <c r="H26" s="16">
        <f t="shared" si="0"/>
        <v>66.666666666666671</v>
      </c>
    </row>
    <row r="27" spans="1:8" s="4" customFormat="1" ht="101.25" customHeight="1" x14ac:dyDescent="0.25">
      <c r="A27" s="9">
        <f t="shared" si="1"/>
        <v>22</v>
      </c>
      <c r="B27" s="10" t="s">
        <v>84</v>
      </c>
      <c r="C27" s="11" t="s">
        <v>85</v>
      </c>
      <c r="D27" s="12" t="s">
        <v>86</v>
      </c>
      <c r="E27" s="12" t="s">
        <v>87</v>
      </c>
      <c r="F27" s="14">
        <v>150000</v>
      </c>
      <c r="G27" s="15">
        <v>48000</v>
      </c>
      <c r="H27" s="16">
        <f t="shared" si="0"/>
        <v>68</v>
      </c>
    </row>
    <row r="28" spans="1:8" s="4" customFormat="1" ht="83.25" customHeight="1" x14ac:dyDescent="0.25">
      <c r="A28" s="9">
        <f t="shared" si="1"/>
        <v>23</v>
      </c>
      <c r="B28" s="10" t="s">
        <v>88</v>
      </c>
      <c r="C28" s="11" t="s">
        <v>89</v>
      </c>
      <c r="D28" s="12" t="s">
        <v>90</v>
      </c>
      <c r="E28" s="12" t="s">
        <v>91</v>
      </c>
      <c r="F28" s="14">
        <v>350000</v>
      </c>
      <c r="G28" s="15">
        <v>94000</v>
      </c>
      <c r="H28" s="16">
        <f t="shared" si="0"/>
        <v>73.142857142857139</v>
      </c>
    </row>
    <row r="29" spans="1:8" ht="93.75" customHeight="1" x14ac:dyDescent="0.25">
      <c r="A29" s="9">
        <f t="shared" si="1"/>
        <v>24</v>
      </c>
      <c r="B29" s="10" t="s">
        <v>92</v>
      </c>
      <c r="C29" s="11" t="s">
        <v>93</v>
      </c>
      <c r="D29" s="12" t="s">
        <v>94</v>
      </c>
      <c r="E29" s="12" t="s">
        <v>95</v>
      </c>
      <c r="F29" s="14">
        <v>130000</v>
      </c>
      <c r="G29" s="15">
        <v>35000</v>
      </c>
      <c r="H29" s="16">
        <f t="shared" si="0"/>
        <v>73.07692307692308</v>
      </c>
    </row>
    <row r="30" spans="1:8" s="4" customFormat="1" ht="73.5" customHeight="1" x14ac:dyDescent="0.25">
      <c r="A30" s="9">
        <f t="shared" si="1"/>
        <v>25</v>
      </c>
      <c r="B30" s="10" t="s">
        <v>96</v>
      </c>
      <c r="C30" s="11" t="s">
        <v>34</v>
      </c>
      <c r="D30" s="12" t="s">
        <v>94</v>
      </c>
      <c r="E30" s="12" t="s">
        <v>83</v>
      </c>
      <c r="F30" s="14">
        <v>180000</v>
      </c>
      <c r="G30" s="15">
        <v>67000</v>
      </c>
      <c r="H30" s="16">
        <f t="shared" si="0"/>
        <v>62.777777777777779</v>
      </c>
    </row>
    <row r="31" spans="1:8" s="4" customFormat="1" ht="47.25" customHeight="1" x14ac:dyDescent="0.25">
      <c r="A31" s="9">
        <f t="shared" si="1"/>
        <v>26</v>
      </c>
      <c r="B31" s="10" t="s">
        <v>97</v>
      </c>
      <c r="C31" s="11" t="s">
        <v>54</v>
      </c>
      <c r="D31" s="12" t="s">
        <v>98</v>
      </c>
      <c r="E31" s="13" t="s">
        <v>99</v>
      </c>
      <c r="F31" s="14">
        <v>130000</v>
      </c>
      <c r="G31" s="15">
        <v>35000</v>
      </c>
      <c r="H31" s="16">
        <f t="shared" si="0"/>
        <v>73.07692307692308</v>
      </c>
    </row>
    <row r="32" spans="1:8" ht="54.75" customHeight="1" x14ac:dyDescent="0.25">
      <c r="A32" s="9">
        <f t="shared" si="1"/>
        <v>27</v>
      </c>
      <c r="B32" s="10" t="s">
        <v>100</v>
      </c>
      <c r="C32" s="11" t="s">
        <v>50</v>
      </c>
      <c r="D32" s="12" t="s">
        <v>101</v>
      </c>
      <c r="E32" s="13" t="s">
        <v>99</v>
      </c>
      <c r="F32" s="14">
        <v>130000</v>
      </c>
      <c r="G32" s="15">
        <v>35000</v>
      </c>
      <c r="H32" s="16">
        <f t="shared" si="0"/>
        <v>73.07692307692308</v>
      </c>
    </row>
    <row r="33" spans="1:8" s="4" customFormat="1" ht="68.25" customHeight="1" x14ac:dyDescent="0.25">
      <c r="A33" s="9">
        <f t="shared" si="1"/>
        <v>28</v>
      </c>
      <c r="B33" s="10" t="s">
        <v>102</v>
      </c>
      <c r="C33" s="11" t="s">
        <v>50</v>
      </c>
      <c r="D33" s="12" t="s">
        <v>103</v>
      </c>
      <c r="E33" s="12" t="s">
        <v>104</v>
      </c>
      <c r="F33" s="14">
        <v>150000</v>
      </c>
      <c r="G33" s="15">
        <v>50000</v>
      </c>
      <c r="H33" s="16">
        <f t="shared" si="0"/>
        <v>66.666666666666671</v>
      </c>
    </row>
    <row r="34" spans="1:8" s="4" customFormat="1" ht="75" customHeight="1" x14ac:dyDescent="0.25">
      <c r="A34" s="9">
        <f t="shared" si="1"/>
        <v>29</v>
      </c>
      <c r="B34" s="10" t="s">
        <v>105</v>
      </c>
      <c r="C34" s="11" t="s">
        <v>106</v>
      </c>
      <c r="D34" s="12" t="s">
        <v>103</v>
      </c>
      <c r="E34" s="12" t="s">
        <v>104</v>
      </c>
      <c r="F34" s="14">
        <v>60000</v>
      </c>
      <c r="G34" s="15">
        <v>22000</v>
      </c>
      <c r="H34" s="16">
        <f>100-(G34/F34*100)</f>
        <v>63.333333333333336</v>
      </c>
    </row>
    <row r="35" spans="1:8" s="4" customFormat="1" ht="51.75" customHeight="1" x14ac:dyDescent="0.25">
      <c r="A35" s="9">
        <f t="shared" si="1"/>
        <v>30</v>
      </c>
      <c r="B35" s="10" t="s">
        <v>107</v>
      </c>
      <c r="C35" s="11" t="s">
        <v>50</v>
      </c>
      <c r="D35" s="12" t="s">
        <v>108</v>
      </c>
      <c r="E35" s="12" t="s">
        <v>109</v>
      </c>
      <c r="F35" s="14">
        <v>130000</v>
      </c>
      <c r="G35" s="15">
        <v>40000</v>
      </c>
      <c r="H35" s="16">
        <f t="shared" si="0"/>
        <v>69.230769230769226</v>
      </c>
    </row>
    <row r="36" spans="1:8" s="4" customFormat="1" ht="72" customHeight="1" x14ac:dyDescent="0.25">
      <c r="A36" s="9">
        <f t="shared" si="1"/>
        <v>31</v>
      </c>
      <c r="B36" s="10" t="s">
        <v>110</v>
      </c>
      <c r="C36" s="11" t="s">
        <v>111</v>
      </c>
      <c r="D36" s="12" t="s">
        <v>112</v>
      </c>
      <c r="E36" s="12" t="s">
        <v>113</v>
      </c>
      <c r="F36" s="14">
        <v>70000</v>
      </c>
      <c r="G36" s="15">
        <v>22000</v>
      </c>
      <c r="H36" s="16">
        <f t="shared" si="0"/>
        <v>68.571428571428569</v>
      </c>
    </row>
    <row r="37" spans="1:8" s="4" customFormat="1" ht="111" customHeight="1" x14ac:dyDescent="0.25">
      <c r="A37" s="9">
        <f t="shared" si="1"/>
        <v>32</v>
      </c>
      <c r="B37" s="10" t="s">
        <v>114</v>
      </c>
      <c r="C37" s="11" t="s">
        <v>115</v>
      </c>
      <c r="D37" s="12" t="s">
        <v>116</v>
      </c>
      <c r="E37" s="12" t="s">
        <v>117</v>
      </c>
      <c r="F37" s="14">
        <v>70000</v>
      </c>
      <c r="G37" s="15">
        <v>22000</v>
      </c>
      <c r="H37" s="16">
        <f t="shared" si="0"/>
        <v>68.571428571428569</v>
      </c>
    </row>
    <row r="38" spans="1:8" s="19" customFormat="1" ht="135" customHeight="1" x14ac:dyDescent="0.25">
      <c r="A38" s="33">
        <f>A37+1</f>
        <v>33</v>
      </c>
      <c r="B38" s="34" t="s">
        <v>118</v>
      </c>
      <c r="C38" s="35" t="s">
        <v>119</v>
      </c>
      <c r="D38" s="36" t="s">
        <v>120</v>
      </c>
      <c r="E38" s="36" t="s">
        <v>121</v>
      </c>
      <c r="F38" s="37">
        <v>35000</v>
      </c>
      <c r="G38" s="37">
        <v>14000</v>
      </c>
      <c r="H38" s="37">
        <f t="shared" si="0"/>
        <v>60</v>
      </c>
    </row>
    <row r="39" spans="1:8" s="19" customFormat="1" ht="78" customHeight="1" x14ac:dyDescent="0.25">
      <c r="A39" s="33">
        <f t="shared" ref="A39:A40" si="2">+A38+1</f>
        <v>34</v>
      </c>
      <c r="B39" s="34" t="s">
        <v>122</v>
      </c>
      <c r="C39" s="35" t="s">
        <v>123</v>
      </c>
      <c r="D39" s="36" t="s">
        <v>124</v>
      </c>
      <c r="E39" s="36" t="s">
        <v>125</v>
      </c>
      <c r="F39" s="37">
        <v>35000</v>
      </c>
      <c r="G39" s="37">
        <v>13000</v>
      </c>
      <c r="H39" s="37">
        <f t="shared" si="0"/>
        <v>62.857142857142854</v>
      </c>
    </row>
    <row r="40" spans="1:8" s="19" customFormat="1" ht="79.5" customHeight="1" x14ac:dyDescent="0.25">
      <c r="A40" s="33">
        <f t="shared" si="2"/>
        <v>35</v>
      </c>
      <c r="B40" s="34" t="s">
        <v>126</v>
      </c>
      <c r="C40" s="35" t="s">
        <v>127</v>
      </c>
      <c r="D40" s="36" t="s">
        <v>128</v>
      </c>
      <c r="E40" s="36" t="s">
        <v>129</v>
      </c>
      <c r="F40" s="37">
        <v>35000</v>
      </c>
      <c r="G40" s="37">
        <v>13000</v>
      </c>
      <c r="H40" s="37">
        <f t="shared" si="0"/>
        <v>62.857142857142854</v>
      </c>
    </row>
    <row r="41" spans="1:8" s="21" customFormat="1" ht="91.5" customHeight="1" x14ac:dyDescent="0.25">
      <c r="A41" s="9">
        <f>A40+1</f>
        <v>36</v>
      </c>
      <c r="B41" s="20" t="s">
        <v>130</v>
      </c>
      <c r="C41" s="11" t="s">
        <v>111</v>
      </c>
      <c r="D41" s="12" t="s">
        <v>131</v>
      </c>
      <c r="E41" s="12" t="s">
        <v>113</v>
      </c>
      <c r="F41" s="14">
        <v>70000</v>
      </c>
      <c r="G41" s="15">
        <v>22000</v>
      </c>
      <c r="H41" s="16">
        <f t="shared" si="0"/>
        <v>68.571428571428569</v>
      </c>
    </row>
    <row r="42" spans="1:8" s="21" customFormat="1" ht="78" customHeight="1" x14ac:dyDescent="0.25">
      <c r="A42" s="9">
        <f>+A41+1</f>
        <v>37</v>
      </c>
      <c r="B42" s="10" t="s">
        <v>132</v>
      </c>
      <c r="C42" s="11" t="s">
        <v>106</v>
      </c>
      <c r="D42" s="12" t="s">
        <v>133</v>
      </c>
      <c r="E42" s="12" t="s">
        <v>134</v>
      </c>
      <c r="F42" s="14">
        <v>120000</v>
      </c>
      <c r="G42" s="15">
        <v>40000</v>
      </c>
      <c r="H42" s="16">
        <f t="shared" si="0"/>
        <v>66.666666666666671</v>
      </c>
    </row>
    <row r="43" spans="1:8" s="2" customFormat="1" ht="27" customHeight="1" x14ac:dyDescent="0.25">
      <c r="A43" s="22"/>
      <c r="B43" s="23" t="s">
        <v>135</v>
      </c>
      <c r="C43" s="24"/>
      <c r="D43" s="24"/>
      <c r="E43" s="24"/>
      <c r="F43" s="24"/>
    </row>
    <row r="44" spans="1:8" s="27" customFormat="1" ht="31.5" customHeight="1" x14ac:dyDescent="0.25">
      <c r="A44" s="25"/>
      <c r="B44" s="38" t="s">
        <v>136</v>
      </c>
      <c r="C44" s="38"/>
      <c r="D44" s="38"/>
      <c r="E44" s="38"/>
      <c r="F44" s="38"/>
      <c r="G44" s="38"/>
      <c r="H44" s="26"/>
    </row>
    <row r="45" spans="1:8" s="27" customFormat="1" ht="31.5" customHeight="1" x14ac:dyDescent="0.25">
      <c r="A45" s="25"/>
      <c r="B45" s="38" t="s">
        <v>137</v>
      </c>
      <c r="C45" s="38"/>
      <c r="D45" s="38"/>
      <c r="E45" s="38"/>
      <c r="F45" s="38"/>
      <c r="G45" s="38"/>
      <c r="H45" s="26"/>
    </row>
    <row r="46" spans="1:8" s="27" customFormat="1" ht="31.5" customHeight="1" x14ac:dyDescent="0.25">
      <c r="A46" s="25"/>
      <c r="B46" s="38" t="s">
        <v>138</v>
      </c>
      <c r="C46" s="38"/>
      <c r="D46" s="38"/>
      <c r="E46" s="38"/>
      <c r="F46" s="38"/>
      <c r="G46" s="38"/>
      <c r="H46" s="26"/>
    </row>
    <row r="47" spans="1:8" s="27" customFormat="1" ht="31.5" customHeight="1" x14ac:dyDescent="0.25">
      <c r="A47" s="25"/>
      <c r="B47" s="38" t="s">
        <v>139</v>
      </c>
      <c r="C47" s="38"/>
      <c r="D47" s="38"/>
      <c r="E47" s="38"/>
      <c r="F47" s="38"/>
      <c r="G47" s="38"/>
      <c r="H47" s="26"/>
    </row>
    <row r="49" spans="5:6" ht="65.45" customHeight="1" x14ac:dyDescent="0.25">
      <c r="E49" s="31" t="s">
        <v>140</v>
      </c>
      <c r="F49" s="1"/>
    </row>
    <row r="51" spans="5:6" x14ac:dyDescent="0.25">
      <c r="E51"/>
    </row>
  </sheetData>
  <mergeCells count="8">
    <mergeCell ref="B46:G46"/>
    <mergeCell ref="B47:G47"/>
    <mergeCell ref="A1:B1"/>
    <mergeCell ref="C1:H1"/>
    <mergeCell ref="A3:H3"/>
    <mergeCell ref="B4:E4"/>
    <mergeCell ref="B44:G44"/>
    <mergeCell ref="B45:G45"/>
  </mergeCells>
  <conditionalFormatting sqref="B43">
    <cfRule type="duplicateValues" dxfId="1" priority="1"/>
  </conditionalFormatting>
  <conditionalFormatting sqref="B44:B47">
    <cfRule type="duplicateValues" dxfId="0" priority="2"/>
  </conditionalFormatting>
  <pageMargins left="0.42" right="0.16" top="0.2" bottom="0.36" header="0.2" footer="0.2"/>
  <pageSetup paperSize="9" scale="49" orientation="landscape" verticalDpi="0" r:id="rId1"/>
  <headerFooter>
    <oddFooter>&amp;C Page &amp;P</oddFooter>
  </headerFooter>
  <rowBreaks count="2" manualBreakCount="2">
    <brk id="15" max="11" man="1"/>
    <brk id="27" max="11" man="1"/>
  </rowBreaks>
  <drawing r:id="rId2"/>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Trang tính</vt:lpstr>
      </vt:variant>
      <vt:variant>
        <vt:i4>1</vt:i4>
      </vt:variant>
      <vt:variant>
        <vt:lpstr>Phạm vi Có tên</vt:lpstr>
      </vt:variant>
      <vt:variant>
        <vt:i4>2</vt:i4>
      </vt:variant>
    </vt:vector>
  </HeadingPairs>
  <TitlesOfParts>
    <vt:vector size="3" baseType="lpstr">
      <vt:lpstr>BG MN Sang</vt:lpstr>
      <vt:lpstr>BG MN Sang!Print_Titles</vt:lpstr>
      <vt:lpstr>BG MN Sang!Vùng_In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NGA NGUYEN</dc:creator>
  <cp:lastModifiedBy>ADMIN</cp:lastModifiedBy>
  <dcterms:created xsi:type="dcterms:W3CDTF">2024-08-29T01:44:01Z</dcterms:created>
  <dcterms:modified xsi:type="dcterms:W3CDTF">2024-10-07T01:16:19Z</dcterms:modified>
</cp:coreProperties>
</file>